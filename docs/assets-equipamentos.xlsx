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Resumo" sheetId="2" state="visible" r:id="rId2"/>
  </sheets>
  <definedNames>
    <definedName name="_xlnm._FilterDatabase" localSheetId="0" hidden="1">'Assets'!$A$4:$J$30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3A3A4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42" customWidth="1" min="4" max="4"/>
    <col width="20" customWidth="1" min="5" max="5"/>
    <col width="34" customWidth="1" min="6" max="6"/>
    <col width="16" customWidth="1" min="7" max="7"/>
    <col width="14" customWidth="1" min="8" max="8"/>
    <col width="30" customWidth="1" min="9" max="9"/>
    <col width="30" customWidth="1" min="10" max="10"/>
  </cols>
  <sheetData>
    <row r="1">
      <c r="A1" s="1" t="inlineStr">
        <is>
          <t>Assets dos equipamentos do IbiFX</t>
        </is>
      </c>
    </row>
    <row r="2" ht="45" customHeight="1">
      <c r="A2" s="2" t="inlineStr">
        <is>
          <t>Preencha só as colunas amarelas (Status, Arquivo do asset, Observações). Status: Pendente, Em produção ou Pronto. Ex.: Status = Pronto, Arquivo = assets/gear/stomp.gate.png. Referências 'Inferido' são leitura do nome/cor/descrição, não estão no código. Ilustrações próprias, sem logos ou marcas de terceiros.</t>
        </is>
      </c>
    </row>
    <row r="4">
      <c r="A4" s="3" t="inlineStr">
        <is>
          <t>Categoria</t>
        </is>
      </c>
      <c r="B4" s="3" t="inlineStr">
        <is>
          <t>Nome no IbiFX</t>
        </is>
      </c>
      <c r="C4" s="3" t="inlineStr">
        <is>
          <t>Id no código</t>
        </is>
      </c>
      <c r="D4" s="3" t="inlineStr">
        <is>
          <t>Provável referência</t>
        </is>
      </c>
      <c r="E4" s="3" t="inlineStr">
        <is>
          <t>Origem da referência</t>
        </is>
      </c>
      <c r="F4" s="3" t="inlineStr">
        <is>
          <t>Knobs no painel</t>
        </is>
      </c>
      <c r="G4" s="3" t="inlineStr">
        <is>
          <t>Formato na signal chain</t>
        </is>
      </c>
      <c r="H4" s="3" t="inlineStr">
        <is>
          <t>Status</t>
        </is>
      </c>
      <c r="I4" s="3" t="inlineStr">
        <is>
          <t>Arquivo do asset</t>
        </is>
      </c>
      <c r="J4" s="3" t="inlineStr">
        <is>
          <t>Observações</t>
        </is>
      </c>
    </row>
    <row r="5">
      <c r="A5" s="4" t="inlineStr">
        <is>
          <t>Pedal</t>
        </is>
      </c>
      <c r="B5" s="4" t="inlineStr">
        <is>
          <t>Noise Gate</t>
        </is>
      </c>
      <c r="C5" s="4" t="inlineStr">
        <is>
          <t>stomp.gate</t>
        </is>
      </c>
      <c r="D5" s="4" t="inlineStr">
        <is>
          <t>Boss NS-2 (o Decay dele = nosso Release; sem o knob Mode)</t>
        </is>
      </c>
      <c r="E5" s="4" t="inlineStr">
        <is>
          <t>Inferido</t>
        </is>
      </c>
      <c r="F5" s="4" t="inlineStr">
        <is>
          <t>Threshold, Release</t>
        </is>
      </c>
      <c r="G5" s="4" t="inlineStr">
        <is>
          <t>Pedal</t>
        </is>
      </c>
      <c r="H5" s="5" t="inlineStr">
        <is>
          <t>Pendente</t>
        </is>
      </c>
      <c r="I5" s="5" t="inlineStr"/>
      <c r="J5" s="5" t="inlineStr"/>
    </row>
    <row r="6">
      <c r="A6" s="4" t="inlineStr">
        <is>
          <t>Pedal</t>
        </is>
      </c>
      <c r="B6" s="4" t="inlineStr">
        <is>
          <t>Orange Squeeze</t>
        </is>
      </c>
      <c r="C6" s="4" t="inlineStr">
        <is>
          <t>stomp.orange-squeeze</t>
        </is>
      </c>
      <c r="D6" s="4" t="inlineStr">
        <is>
          <t>MXR Dyna Comp (a versão laranja dos anos 70/80)</t>
        </is>
      </c>
      <c r="E6" s="4" t="inlineStr">
        <is>
          <t>Confirmado no código</t>
        </is>
      </c>
      <c r="F6" s="4" t="inlineStr">
        <is>
          <t>Sensitivity, Output</t>
        </is>
      </c>
      <c r="G6" s="4" t="inlineStr">
        <is>
          <t>Pedal</t>
        </is>
      </c>
      <c r="H6" s="5" t="inlineStr">
        <is>
          <t>Pendente</t>
        </is>
      </c>
      <c r="I6" s="5" t="inlineStr"/>
      <c r="J6" s="5" t="inlineStr"/>
    </row>
    <row r="7">
      <c r="A7" s="4" t="inlineStr">
        <is>
          <t>Pedal</t>
        </is>
      </c>
      <c r="B7" s="4" t="inlineStr">
        <is>
          <t>Clean Boost</t>
        </is>
      </c>
      <c r="C7" s="4" t="inlineStr">
        <is>
          <t>stomp.clean-boost</t>
        </is>
      </c>
      <c r="D7" s="4" t="inlineStr">
        <is>
          <t>MXR Micro Amp / booster limpo</t>
        </is>
      </c>
      <c r="E7" s="4" t="inlineStr">
        <is>
          <t>Inferido</t>
        </is>
      </c>
      <c r="F7" s="4" t="inlineStr">
        <is>
          <t>Gain</t>
        </is>
      </c>
      <c r="G7" s="4" t="inlineStr">
        <is>
          <t>Pedal</t>
        </is>
      </c>
      <c r="H7" s="5" t="inlineStr">
        <is>
          <t>Pendente</t>
        </is>
      </c>
      <c r="I7" s="5" t="inlineStr"/>
      <c r="J7" s="5" t="inlineStr"/>
    </row>
    <row r="8">
      <c r="A8" s="4" t="inlineStr">
        <is>
          <t>Pedal</t>
        </is>
      </c>
      <c r="B8" s="4" t="inlineStr">
        <is>
          <t>Green Screamer</t>
        </is>
      </c>
      <c r="C8" s="4" t="inlineStr">
        <is>
          <t>stomp.green-screamer</t>
        </is>
      </c>
      <c r="D8" s="4" t="inlineStr">
        <is>
          <t>Ibanez Tube Screamer (TS808/TS9)</t>
        </is>
      </c>
      <c r="E8" s="4" t="inlineStr">
        <is>
          <t>Inferido</t>
        </is>
      </c>
      <c r="F8" s="4" t="inlineStr">
        <is>
          <t>Drive, Low Cut, Level</t>
        </is>
      </c>
      <c r="G8" s="4" t="inlineStr">
        <is>
          <t>Pedal</t>
        </is>
      </c>
      <c r="H8" s="5" t="inlineStr">
        <is>
          <t>Pendente</t>
        </is>
      </c>
      <c r="I8" s="5" t="inlineStr"/>
      <c r="J8" s="5" t="inlineStr"/>
    </row>
    <row r="9">
      <c r="A9" s="4" t="inlineStr">
        <is>
          <t>Pedal</t>
        </is>
      </c>
      <c r="B9" s="4" t="inlineStr">
        <is>
          <t>Yellow Drive</t>
        </is>
      </c>
      <c r="C9" s="4" t="inlineStr">
        <is>
          <t>stomp.yellow-drive</t>
        </is>
      </c>
      <c r="D9" s="4" t="inlineStr">
        <is>
          <t>Boss SD-1 pela cor; o som (simétrico, transparente) lembra um overdrive transparente</t>
        </is>
      </c>
      <c r="E9" s="4" t="inlineStr">
        <is>
          <t>Inferido</t>
        </is>
      </c>
      <c r="F9" s="4" t="inlineStr">
        <is>
          <t>Drive, Level</t>
        </is>
      </c>
      <c r="G9" s="4" t="inlineStr">
        <is>
          <t>Pedal</t>
        </is>
      </c>
      <c r="H9" s="5" t="inlineStr">
        <is>
          <t>Pendente</t>
        </is>
      </c>
      <c r="I9" s="5" t="inlineStr"/>
      <c r="J9" s="5" t="inlineStr"/>
    </row>
    <row r="10">
      <c r="A10" s="4" t="inlineStr">
        <is>
          <t>Pedal</t>
        </is>
      </c>
      <c r="B10" s="4" t="inlineStr">
        <is>
          <t>Black Rodent</t>
        </is>
      </c>
      <c r="C10" s="4" t="inlineStr">
        <is>
          <t>stomp.black-rodent</t>
        </is>
      </c>
      <c r="D10" s="4" t="inlineStr">
        <is>
          <t>ProCo RAT</t>
        </is>
      </c>
      <c r="E10" s="4" t="inlineStr">
        <is>
          <t>Inferido</t>
        </is>
      </c>
      <c r="F10" s="4" t="inlineStr">
        <is>
          <t>Distortion, Low Cut, Level</t>
        </is>
      </c>
      <c r="G10" s="4" t="inlineStr">
        <is>
          <t>Pedal</t>
        </is>
      </c>
      <c r="H10" s="5" t="inlineStr">
        <is>
          <t>Pendente</t>
        </is>
      </c>
      <c r="I10" s="5" t="inlineStr"/>
      <c r="J10" s="5" t="inlineStr"/>
    </row>
    <row r="11">
      <c r="A11" s="4" t="inlineStr">
        <is>
          <t>Pedal</t>
        </is>
      </c>
      <c r="B11" s="4" t="inlineStr">
        <is>
          <t>Round Fuzz</t>
        </is>
      </c>
      <c r="C11" s="4" t="inlineStr">
        <is>
          <t>stomp.round-fuzz</t>
        </is>
      </c>
      <c r="D11" s="4" t="inlineStr">
        <is>
          <t>Dallas Arbiter Fuzz Face</t>
        </is>
      </c>
      <c r="E11" s="4" t="inlineStr">
        <is>
          <t>Inferido</t>
        </is>
      </c>
      <c r="F11" s="4" t="inlineStr">
        <is>
          <t>Fuzz, Bias</t>
        </is>
      </c>
      <c r="G11" s="4" t="inlineStr">
        <is>
          <t>Pedal</t>
        </is>
      </c>
      <c r="H11" s="5" t="inlineStr">
        <is>
          <t>Pendente</t>
        </is>
      </c>
      <c r="I11" s="5" t="inlineStr"/>
      <c r="J11" s="5" t="inlineStr"/>
    </row>
    <row r="12">
      <c r="A12" s="4" t="inlineStr">
        <is>
          <t>Pedal</t>
        </is>
      </c>
      <c r="B12" s="4" t="inlineStr">
        <is>
          <t>Blue Chorus</t>
        </is>
      </c>
      <c r="C12" s="4" t="inlineStr">
        <is>
          <t>stomp.blue-chorus</t>
        </is>
      </c>
      <c r="D12" s="4" t="inlineStr">
        <is>
          <t>Boss CE-2 (chorus dos anos 80)</t>
        </is>
      </c>
      <c r="E12" s="4" t="inlineStr">
        <is>
          <t>Inferido</t>
        </is>
      </c>
      <c r="F12" s="4" t="inlineStr">
        <is>
          <t>Rate, Depth, Mix</t>
        </is>
      </c>
      <c r="G12" s="4" t="inlineStr">
        <is>
          <t>Pedal</t>
        </is>
      </c>
      <c r="H12" s="5" t="inlineStr">
        <is>
          <t>Pendente</t>
        </is>
      </c>
      <c r="I12" s="5" t="inlineStr"/>
      <c r="J12" s="5" t="inlineStr"/>
    </row>
    <row r="13">
      <c r="A13" s="4" t="inlineStr">
        <is>
          <t>Pedal</t>
        </is>
      </c>
      <c r="B13" s="4" t="inlineStr">
        <is>
          <t>Analog Echo</t>
        </is>
      </c>
      <c r="C13" s="4" t="inlineStr">
        <is>
          <t>stomp.analog-echo</t>
        </is>
      </c>
      <c r="D13" s="4" t="inlineStr">
        <is>
          <t>Boss DM-2 / MXR Carbon Copy</t>
        </is>
      </c>
      <c r="E13" s="4" t="inlineStr">
        <is>
          <t>Inferido</t>
        </is>
      </c>
      <c r="F13" s="4" t="inlineStr">
        <is>
          <t>Time, Feedback, Mix</t>
        </is>
      </c>
      <c r="G13" s="4" t="inlineStr">
        <is>
          <t>Pedal</t>
        </is>
      </c>
      <c r="H13" s="5" t="inlineStr">
        <is>
          <t>Pendente</t>
        </is>
      </c>
      <c r="I13" s="5" t="inlineStr"/>
      <c r="J13" s="5" t="inlineStr"/>
    </row>
    <row r="14">
      <c r="A14" s="4" t="inlineStr">
        <is>
          <t>Pedal</t>
        </is>
      </c>
      <c r="B14" s="4" t="inlineStr">
        <is>
          <t>Spring Room</t>
        </is>
      </c>
      <c r="C14" s="4" t="inlineStr">
        <is>
          <t>stomp.spring-room</t>
        </is>
      </c>
      <c r="D14" s="4" t="inlineStr">
        <is>
          <t>Reverb de mola de amplificador</t>
        </is>
      </c>
      <c r="E14" s="4" t="inlineStr">
        <is>
          <t>Inferido</t>
        </is>
      </c>
      <c r="F14" s="4" t="inlineStr">
        <is>
          <t>Decay, Damping, Mix</t>
        </is>
      </c>
      <c r="G14" s="4" t="inlineStr">
        <is>
          <t>Pedal</t>
        </is>
      </c>
      <c r="H14" s="5" t="inlineStr">
        <is>
          <t>Pendente</t>
        </is>
      </c>
      <c r="I14" s="5" t="inlineStr"/>
      <c r="J14" s="5" t="inlineStr"/>
    </row>
    <row r="15">
      <c r="A15" s="4" t="inlineStr">
        <is>
          <t>Amp</t>
        </is>
      </c>
      <c r="B15" s="4" t="inlineStr">
        <is>
          <t>American Clean</t>
        </is>
      </c>
      <c r="C15" s="4" t="inlineStr">
        <is>
          <t>amp.american-clean</t>
        </is>
      </c>
      <c r="D15" s="4" t="inlineStr">
        <is>
          <t>Fender Twin Reverb</t>
        </is>
      </c>
      <c r="E15" s="4" t="inlineStr">
        <is>
          <t>Inferido</t>
        </is>
      </c>
      <c r="F15" s="4" t="inlineStr">
        <is>
          <t>Gain, Bass, Middle, Treble, Sag, Master</t>
        </is>
      </c>
      <c r="G15" s="4" t="inlineStr">
        <is>
          <t>Amp head</t>
        </is>
      </c>
      <c r="H15" s="5" t="inlineStr">
        <is>
          <t>Pendente</t>
        </is>
      </c>
      <c r="I15" s="5" t="inlineStr"/>
      <c r="J15" s="5" t="inlineStr"/>
    </row>
    <row r="16">
      <c r="A16" s="4" t="inlineStr">
        <is>
          <t>Amp</t>
        </is>
      </c>
      <c r="B16" s="4" t="inlineStr">
        <is>
          <t>Tweed '59</t>
        </is>
      </c>
      <c r="C16" s="4" t="inlineStr">
        <is>
          <t>amp.tweed-59</t>
        </is>
      </c>
      <c r="D16" s="4" t="inlineStr">
        <is>
          <t>Fender '59 Bassman</t>
        </is>
      </c>
      <c r="E16" s="4" t="inlineStr">
        <is>
          <t>Confirmado no código</t>
        </is>
      </c>
      <c r="F16" s="4" t="inlineStr">
        <is>
          <t>Gain, Bass, Middle, Treble, Sag, Master</t>
        </is>
      </c>
      <c r="G16" s="4" t="inlineStr">
        <is>
          <t>Amp head</t>
        </is>
      </c>
      <c r="H16" s="5" t="inlineStr">
        <is>
          <t>Pendente</t>
        </is>
      </c>
      <c r="I16" s="5" t="inlineStr"/>
      <c r="J16" s="5" t="inlineStr"/>
    </row>
    <row r="17">
      <c r="A17" s="4" t="inlineStr">
        <is>
          <t>Amp</t>
        </is>
      </c>
      <c r="B17" s="4" t="inlineStr">
        <is>
          <t>Brit Plexi</t>
        </is>
      </c>
      <c r="C17" s="4" t="inlineStr">
        <is>
          <t>amp.brit-plexi</t>
        </is>
      </c>
      <c r="D17" s="4" t="inlineStr">
        <is>
          <t>Marshall 1959 Super Lead "Plexi"</t>
        </is>
      </c>
      <c r="E17" s="4" t="inlineStr">
        <is>
          <t>Inferido</t>
        </is>
      </c>
      <c r="F17" s="4" t="inlineStr">
        <is>
          <t>Gain, Bass, Middle, Treble, Presence, Sag, Master</t>
        </is>
      </c>
      <c r="G17" s="4" t="inlineStr">
        <is>
          <t>Amp head</t>
        </is>
      </c>
      <c r="H17" s="5" t="inlineStr">
        <is>
          <t>Pendente</t>
        </is>
      </c>
      <c r="I17" s="5" t="inlineStr"/>
      <c r="J17" s="5" t="inlineStr"/>
    </row>
    <row r="18">
      <c r="A18" s="4" t="inlineStr">
        <is>
          <t>Amp</t>
        </is>
      </c>
      <c r="B18" s="4" t="inlineStr">
        <is>
          <t>Brit 800</t>
        </is>
      </c>
      <c r="C18" s="4" t="inlineStr">
        <is>
          <t>amp.brit-800</t>
        </is>
      </c>
      <c r="D18" s="4" t="inlineStr">
        <is>
          <t>Marshall JCM800 2203</t>
        </is>
      </c>
      <c r="E18" s="4" t="inlineStr">
        <is>
          <t>Inferido</t>
        </is>
      </c>
      <c r="F18" s="4" t="inlineStr">
        <is>
          <t>Gain, Bass, Middle, Treble, Presence, Sag, Master</t>
        </is>
      </c>
      <c r="G18" s="4" t="inlineStr">
        <is>
          <t>Amp head</t>
        </is>
      </c>
      <c r="H18" s="5" t="inlineStr">
        <is>
          <t>Pendente</t>
        </is>
      </c>
      <c r="I18" s="5" t="inlineStr"/>
      <c r="J18" s="5" t="inlineStr"/>
    </row>
    <row r="19">
      <c r="A19" s="4" t="inlineStr">
        <is>
          <t>Amp</t>
        </is>
      </c>
      <c r="B19" s="4" t="inlineStr">
        <is>
          <t>Modern Hi-Gain</t>
        </is>
      </c>
      <c r="C19" s="4" t="inlineStr">
        <is>
          <t>amp.modern-hi-gain</t>
        </is>
      </c>
      <c r="D19" s="4" t="inlineStr">
        <is>
          <t>Mesa Dual Rectifier / EVH 5150</t>
        </is>
      </c>
      <c r="E19" s="4" t="inlineStr">
        <is>
          <t>Inferido</t>
        </is>
      </c>
      <c r="F19" s="4" t="inlineStr">
        <is>
          <t>Gain, Bass, Middle, Treble, Sag, Master</t>
        </is>
      </c>
      <c r="G19" s="4" t="inlineStr">
        <is>
          <t>Amp head</t>
        </is>
      </c>
      <c r="H19" s="5" t="inlineStr">
        <is>
          <t>Pendente</t>
        </is>
      </c>
      <c r="I19" s="5" t="inlineStr"/>
      <c r="J19" s="5" t="inlineStr"/>
    </row>
    <row r="20">
      <c r="A20" s="4" t="inlineStr">
        <is>
          <t>Rack</t>
        </is>
      </c>
      <c r="B20" s="4" t="inlineStr">
        <is>
          <t>Slapback</t>
        </is>
      </c>
      <c r="C20" s="4" t="inlineStr">
        <is>
          <t>rack.slapback</t>
        </is>
      </c>
      <c r="D20" s="4" t="inlineStr">
        <is>
          <t>Eco curto rockabilly (tape slap, tipo Echoplex)</t>
        </is>
      </c>
      <c r="E20" s="4" t="inlineStr">
        <is>
          <t>Inferido</t>
        </is>
      </c>
      <c r="F20" s="4" t="inlineStr">
        <is>
          <t>Time, Feedback, Mix</t>
        </is>
      </c>
      <c r="G20" s="4" t="inlineStr">
        <is>
          <t>Rack</t>
        </is>
      </c>
      <c r="H20" s="5" t="inlineStr">
        <is>
          <t>Pendente</t>
        </is>
      </c>
      <c r="I20" s="5" t="inlineStr"/>
      <c r="J20" s="5" t="inlineStr"/>
    </row>
    <row r="21">
      <c r="A21" s="4" t="inlineStr">
        <is>
          <t>Rack</t>
        </is>
      </c>
      <c r="B21" s="4" t="inlineStr">
        <is>
          <t>Digital Delay</t>
        </is>
      </c>
      <c r="C21" s="4" t="inlineStr">
        <is>
          <t>rack.digital-delay</t>
        </is>
      </c>
      <c r="D21" s="4" t="inlineStr">
        <is>
          <t>Delay digital limpo (tipo TC 2290)</t>
        </is>
      </c>
      <c r="E21" s="4" t="inlineStr">
        <is>
          <t>Inferido</t>
        </is>
      </c>
      <c r="F21" s="4" t="inlineStr">
        <is>
          <t>Time, Feedback, Mix</t>
        </is>
      </c>
      <c r="G21" s="4" t="inlineStr">
        <is>
          <t>Rack</t>
        </is>
      </c>
      <c r="H21" s="5" t="inlineStr">
        <is>
          <t>Pendente</t>
        </is>
      </c>
      <c r="I21" s="5" t="inlineStr"/>
      <c r="J21" s="5" t="inlineStr"/>
    </row>
    <row r="22">
      <c r="A22" s="4" t="inlineStr">
        <is>
          <t>Rack</t>
        </is>
      </c>
      <c r="B22" s="4" t="inlineStr">
        <is>
          <t>Long Echo</t>
        </is>
      </c>
      <c r="C22" s="4" t="inlineStr">
        <is>
          <t>rack.long-echo</t>
        </is>
      </c>
      <c r="D22" s="4" t="inlineStr">
        <is>
          <t>Eco longo para solo</t>
        </is>
      </c>
      <c r="E22" s="4" t="inlineStr">
        <is>
          <t>Inferido</t>
        </is>
      </c>
      <c r="F22" s="4" t="inlineStr">
        <is>
          <t>Time, Feedback, Mix</t>
        </is>
      </c>
      <c r="G22" s="4" t="inlineStr">
        <is>
          <t>Rack</t>
        </is>
      </c>
      <c r="H22" s="5" t="inlineStr">
        <is>
          <t>Pendente</t>
        </is>
      </c>
      <c r="I22" s="5" t="inlineStr"/>
      <c r="J22" s="5" t="inlineStr"/>
    </row>
    <row r="23">
      <c r="A23" s="4" t="inlineStr">
        <is>
          <t>Rack</t>
        </is>
      </c>
      <c r="B23" s="4" t="inlineStr">
        <is>
          <t>Room Reverb</t>
        </is>
      </c>
      <c r="C23" s="4" t="inlineStr">
        <is>
          <t>rack.room</t>
        </is>
      </c>
      <c r="D23" s="4" t="inlineStr">
        <is>
          <t>Reverb de sala pequena</t>
        </is>
      </c>
      <c r="E23" s="4" t="inlineStr">
        <is>
          <t>Inferido</t>
        </is>
      </c>
      <c r="F23" s="4" t="inlineStr">
        <is>
          <t>Decay, Damping, Mix</t>
        </is>
      </c>
      <c r="G23" s="4" t="inlineStr">
        <is>
          <t>Rack</t>
        </is>
      </c>
      <c r="H23" s="5" t="inlineStr">
        <is>
          <t>Pendente</t>
        </is>
      </c>
      <c r="I23" s="5" t="inlineStr"/>
      <c r="J23" s="5" t="inlineStr"/>
    </row>
    <row r="24">
      <c r="A24" s="4" t="inlineStr">
        <is>
          <t>Rack</t>
        </is>
      </c>
      <c r="B24" s="4" t="inlineStr">
        <is>
          <t>Hall Reverb</t>
        </is>
      </c>
      <c r="C24" s="4" t="inlineStr">
        <is>
          <t>rack.hall</t>
        </is>
      </c>
      <c r="D24" s="4" t="inlineStr">
        <is>
          <t>Reverb de salão (tipo Lexicon)</t>
        </is>
      </c>
      <c r="E24" s="4" t="inlineStr">
        <is>
          <t>Inferido</t>
        </is>
      </c>
      <c r="F24" s="4" t="inlineStr">
        <is>
          <t>Decay, Damping, Mix</t>
        </is>
      </c>
      <c r="G24" s="4" t="inlineStr">
        <is>
          <t>Rack</t>
        </is>
      </c>
      <c r="H24" s="5" t="inlineStr">
        <is>
          <t>Pendente</t>
        </is>
      </c>
      <c r="I24" s="5" t="inlineStr"/>
      <c r="J24" s="5" t="inlineStr"/>
    </row>
    <row r="25">
      <c r="A25" s="4" t="inlineStr">
        <is>
          <t>Rack</t>
        </is>
      </c>
      <c r="B25" s="4" t="inlineStr">
        <is>
          <t>Output Limiter</t>
        </is>
      </c>
      <c r="C25" s="4" t="inlineStr">
        <is>
          <t>rack.output-limiter</t>
        </is>
      </c>
      <c r="D25" s="4" t="inlineStr">
        <is>
          <t>Limiter de saída genérico</t>
        </is>
      </c>
      <c r="E25" s="4" t="inlineStr">
        <is>
          <t>Inferido</t>
        </is>
      </c>
      <c r="F25" s="4" t="inlineStr">
        <is>
          <t>Threshold</t>
        </is>
      </c>
      <c r="G25" s="4" t="inlineStr">
        <is>
          <t>Rack</t>
        </is>
      </c>
      <c r="H25" s="5" t="inlineStr">
        <is>
          <t>Pendente</t>
        </is>
      </c>
      <c r="I25" s="5" t="inlineStr"/>
      <c r="J25" s="5" t="inlineStr"/>
    </row>
    <row r="26">
      <c r="A26" s="4" t="inlineStr">
        <is>
          <t>EQ</t>
        </is>
      </c>
      <c r="B26" s="4" t="inlineStr">
        <is>
          <t>High Pass</t>
        </is>
      </c>
      <c r="C26" s="4" t="inlineStr">
        <is>
          <t>eq.high-pass</t>
        </is>
      </c>
      <c r="D26" s="4" t="inlineStr">
        <is>
          <t>Filtro corta-grave genérico</t>
        </is>
      </c>
      <c r="E26" s="4" t="inlineStr">
        <is>
          <t>Inferido</t>
        </is>
      </c>
      <c r="F26" s="4" t="inlineStr">
        <is>
          <t>Frequency</t>
        </is>
      </c>
      <c r="G26" s="4" t="inlineStr">
        <is>
          <t>Rack</t>
        </is>
      </c>
      <c r="H26" s="5" t="inlineStr">
        <is>
          <t>Pendente</t>
        </is>
      </c>
      <c r="I26" s="5" t="inlineStr"/>
      <c r="J26" s="5" t="inlineStr"/>
    </row>
    <row r="27">
      <c r="A27" s="4" t="inlineStr">
        <is>
          <t>EQ</t>
        </is>
      </c>
      <c r="B27" s="4" t="inlineStr">
        <is>
          <t>3-Band Tone Stack</t>
        </is>
      </c>
      <c r="C27" s="4" t="inlineStr">
        <is>
          <t>eq.tone-stack</t>
        </is>
      </c>
      <c r="D27" s="4" t="inlineStr">
        <is>
          <t>Tone stack passivo do Fender '59 Bassman</t>
        </is>
      </c>
      <c r="E27" s="4" t="inlineStr">
        <is>
          <t>Confirmado no código</t>
        </is>
      </c>
      <c r="F27" s="4" t="inlineStr">
        <is>
          <t>Bass, Mid, Treble, Level</t>
        </is>
      </c>
      <c r="G27" s="4" t="inlineStr">
        <is>
          <t>Rack</t>
        </is>
      </c>
      <c r="H27" s="5" t="inlineStr">
        <is>
          <t>Pendente</t>
        </is>
      </c>
      <c r="I27" s="5" t="inlineStr"/>
      <c r="J27" s="5" t="inlineStr"/>
    </row>
    <row r="28">
      <c r="A28" s="4" t="inlineStr">
        <is>
          <t>Cabinet</t>
        </is>
      </c>
      <c r="B28" s="4" t="inlineStr">
        <is>
          <t>Celestion Vintage30 – Cenzo Townshend Mix</t>
        </is>
      </c>
      <c r="C28" s="4" t="inlineStr">
        <is>
          <t>(gerado da pasta em irs/)</t>
        </is>
      </c>
      <c r="D28" s="4" t="inlineStr">
        <is>
          <t>Caixa 4x12 com Celestion V30 (estilo Marshall 1960 / Mesa)</t>
        </is>
      </c>
      <c r="E28" s="4" t="inlineStr">
        <is>
          <t>Confirmado no código</t>
        </is>
      </c>
      <c r="F28" s="4" t="inlineStr">
        <is>
          <t>Mix</t>
        </is>
      </c>
      <c r="G28" s="4" t="inlineStr">
        <is>
          <t>Cabinet</t>
        </is>
      </c>
      <c r="H28" s="5" t="inlineStr">
        <is>
          <t>Pendente</t>
        </is>
      </c>
      <c r="I28" s="5" t="inlineStr"/>
      <c r="J28" s="5" t="inlineStr"/>
    </row>
    <row r="29">
      <c r="A29" s="4" t="inlineStr">
        <is>
          <t>Cabinet</t>
        </is>
      </c>
      <c r="B29" s="4" t="inlineStr">
        <is>
          <t>Cabinet genérico 4x12</t>
        </is>
      </c>
      <c r="C29" s="4" t="inlineStr">
        <is>
          <t>(asset para qualquer IR importada)</t>
        </is>
      </c>
      <c r="D29" s="4" t="inlineStr">
        <is>
          <t>Caixa 4x12 genérica</t>
        </is>
      </c>
      <c r="E29" s="4" t="inlineStr">
        <is>
          <t>Sugestão</t>
        </is>
      </c>
      <c r="F29" s="4" t="inlineStr">
        <is>
          <t>Mix</t>
        </is>
      </c>
      <c r="G29" s="4" t="inlineStr">
        <is>
          <t>Cabinet</t>
        </is>
      </c>
      <c r="H29" s="5" t="inlineStr">
        <is>
          <t>Pendente</t>
        </is>
      </c>
      <c r="I29" s="5" t="inlineStr"/>
      <c r="J29" s="5" t="inlineStr"/>
    </row>
    <row r="30">
      <c r="A30" s="4" t="inlineStr">
        <is>
          <t>Cabinet</t>
        </is>
      </c>
      <c r="B30" s="4" t="inlineStr">
        <is>
          <t>Cabinet genérico 1x12/2x12</t>
        </is>
      </c>
      <c r="C30" s="4" t="inlineStr">
        <is>
          <t>(asset para qualquer IR importada)</t>
        </is>
      </c>
      <c r="D30" s="4" t="inlineStr">
        <is>
          <t>Caixa combo/1x12 ou 2x12 genérica</t>
        </is>
      </c>
      <c r="E30" s="4" t="inlineStr">
        <is>
          <t>Sugestão</t>
        </is>
      </c>
      <c r="F30" s="4" t="inlineStr">
        <is>
          <t>Mix</t>
        </is>
      </c>
      <c r="G30" s="4" t="inlineStr">
        <is>
          <t>Cabinet</t>
        </is>
      </c>
      <c r="H30" s="5" t="inlineStr">
        <is>
          <t>Pendente</t>
        </is>
      </c>
      <c r="I30" s="5" t="inlineStr"/>
      <c r="J30" s="5" t="inlineStr"/>
    </row>
  </sheetData>
  <autoFilter ref="A4:J30"/>
  <mergeCells count="1">
    <mergeCell ref="A2:J2"/>
  </mergeCells>
  <dataValidations count="1">
    <dataValidation sqref="H5:H30" showDropDown="0" showInputMessage="0" showErrorMessage="0" allowBlank="0" type="list">
      <formula1>"Pendente,Em produção,Pronto"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0" customWidth="1" min="5" max="5"/>
    <col width="10" customWidth="1" min="6" max="6"/>
  </cols>
  <sheetData>
    <row r="1">
      <c r="A1" s="1" t="inlineStr">
        <is>
          <t>Progresso por categoria</t>
        </is>
      </c>
    </row>
    <row r="3">
      <c r="A3" s="6" t="inlineStr">
        <is>
          <t>Categoria</t>
        </is>
      </c>
      <c r="B3" s="6" t="inlineStr">
        <is>
          <t>Total</t>
        </is>
      </c>
      <c r="C3" s="6" t="inlineStr">
        <is>
          <t>Pendente</t>
        </is>
      </c>
      <c r="D3" s="6" t="inlineStr">
        <is>
          <t>Em produção</t>
        </is>
      </c>
      <c r="E3" s="6" t="inlineStr">
        <is>
          <t>Pronto</t>
        </is>
      </c>
      <c r="F3" s="6" t="inlineStr">
        <is>
          <t>% pronto</t>
        </is>
      </c>
    </row>
    <row r="4">
      <c r="A4" s="7" t="inlineStr">
        <is>
          <t>Pedal</t>
        </is>
      </c>
      <c r="B4" s="7">
        <f>COUNTIF(Assets!$A$5:$A$30,A4)</f>
        <v/>
      </c>
      <c r="C4" s="7">
        <f>COUNTIFS(Assets!$A$5:$A$30,$A4,Assets!$H$5:$H$30,"Pendente")</f>
        <v/>
      </c>
      <c r="D4" s="7">
        <f>COUNTIFS(Assets!$A$5:$A$30,$A4,Assets!$H$5:$H$30,"Em produção")</f>
        <v/>
      </c>
      <c r="E4" s="7">
        <f>COUNTIFS(Assets!$A$5:$A$30,$A4,Assets!$H$5:$H$30,"Pronto")</f>
        <v/>
      </c>
      <c r="F4" s="8">
        <f>IF(B4=0,0,E4/B4)</f>
        <v/>
      </c>
    </row>
    <row r="5">
      <c r="A5" s="7" t="inlineStr">
        <is>
          <t>Amp</t>
        </is>
      </c>
      <c r="B5" s="7">
        <f>COUNTIF(Assets!$A$5:$A$30,A5)</f>
        <v/>
      </c>
      <c r="C5" s="7">
        <f>COUNTIFS(Assets!$A$5:$A$30,$A5,Assets!$H$5:$H$30,"Pendente")</f>
        <v/>
      </c>
      <c r="D5" s="7">
        <f>COUNTIFS(Assets!$A$5:$A$30,$A5,Assets!$H$5:$H$30,"Em produção")</f>
        <v/>
      </c>
      <c r="E5" s="7">
        <f>COUNTIFS(Assets!$A$5:$A$30,$A5,Assets!$H$5:$H$30,"Pronto")</f>
        <v/>
      </c>
      <c r="F5" s="8">
        <f>IF(B5=0,0,E5/B5)</f>
        <v/>
      </c>
    </row>
    <row r="6">
      <c r="A6" s="7" t="inlineStr">
        <is>
          <t>Rack</t>
        </is>
      </c>
      <c r="B6" s="7">
        <f>COUNTIF(Assets!$A$5:$A$30,A6)</f>
        <v/>
      </c>
      <c r="C6" s="7">
        <f>COUNTIFS(Assets!$A$5:$A$30,$A6,Assets!$H$5:$H$30,"Pendente")</f>
        <v/>
      </c>
      <c r="D6" s="7">
        <f>COUNTIFS(Assets!$A$5:$A$30,$A6,Assets!$H$5:$H$30,"Em produção")</f>
        <v/>
      </c>
      <c r="E6" s="7">
        <f>COUNTIFS(Assets!$A$5:$A$30,$A6,Assets!$H$5:$H$30,"Pronto")</f>
        <v/>
      </c>
      <c r="F6" s="8">
        <f>IF(B6=0,0,E6/B6)</f>
        <v/>
      </c>
    </row>
    <row r="7">
      <c r="A7" s="7" t="inlineStr">
        <is>
          <t>EQ</t>
        </is>
      </c>
      <c r="B7" s="7">
        <f>COUNTIF(Assets!$A$5:$A$30,A7)</f>
        <v/>
      </c>
      <c r="C7" s="7">
        <f>COUNTIFS(Assets!$A$5:$A$30,$A7,Assets!$H$5:$H$30,"Pendente")</f>
        <v/>
      </c>
      <c r="D7" s="7">
        <f>COUNTIFS(Assets!$A$5:$A$30,$A7,Assets!$H$5:$H$30,"Em produção")</f>
        <v/>
      </c>
      <c r="E7" s="7">
        <f>COUNTIFS(Assets!$A$5:$A$30,$A7,Assets!$H$5:$H$30,"Pronto")</f>
        <v/>
      </c>
      <c r="F7" s="8">
        <f>IF(B7=0,0,E7/B7)</f>
        <v/>
      </c>
    </row>
    <row r="8">
      <c r="A8" s="7" t="inlineStr">
        <is>
          <t>Cabinet</t>
        </is>
      </c>
      <c r="B8" s="7">
        <f>COUNTIF(Assets!$A$5:$A$30,A8)</f>
        <v/>
      </c>
      <c r="C8" s="7">
        <f>COUNTIFS(Assets!$A$5:$A$30,$A8,Assets!$H$5:$H$30,"Pendente")</f>
        <v/>
      </c>
      <c r="D8" s="7">
        <f>COUNTIFS(Assets!$A$5:$A$30,$A8,Assets!$H$5:$H$30,"Em produção")</f>
        <v/>
      </c>
      <c r="E8" s="7">
        <f>COUNTIFS(Assets!$A$5:$A$30,$A8,Assets!$H$5:$H$30,"Pronto")</f>
        <v/>
      </c>
      <c r="F8" s="8">
        <f>IF(B8=0,0,E8/B8)</f>
        <v/>
      </c>
    </row>
    <row r="9">
      <c r="A9" s="9" t="inlineStr">
        <is>
          <t>Total</t>
        </is>
      </c>
      <c r="B9" s="9">
        <f>SUM(B4:B8)</f>
        <v/>
      </c>
      <c r="C9" s="9">
        <f>SUM(C4:C8)</f>
        <v/>
      </c>
      <c r="D9" s="9">
        <f>SUM(D4:D8)</f>
        <v/>
      </c>
      <c r="E9" s="9">
        <f>SUM(E4:E8)</f>
        <v/>
      </c>
      <c r="F9" s="10">
        <f>IF(B9=0,0,E9/B9)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2026-10-29T14:27:09Z</dcterms:created>
  <dcterms:modified xsi:type="dcterms:W3CDTF">2026-10-29T19:40:09Z</dcterms:modified>
</cp:coreProperties>
</file>